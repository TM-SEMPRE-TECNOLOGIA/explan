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cdad01917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çamento" sheetId="1" r:id="R49b0378a353846a5"/>
    <x:sheet xmlns:r="http://schemas.openxmlformats.org/officeDocument/2006/relationships" name="Resumo" sheetId="2" r:id="R00400f8972a04766"/>
    <x:sheet xmlns:r="http://schemas.openxmlformats.org/officeDocument/2006/relationships" name="Premissas" sheetId="3" r:id="Rdca3730c2e87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R$ #,##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9EAD3"/>
      </x:patternFill>
    </x:fill>
    <x:fill>
      <x:patternFill patternType="solid">
        <x:fgColor rgb="FF2E6B55"/>
      </x:patternFill>
    </x:fill>
    <x:fill>
      <x:patternFill patternType="solid">
        <x:fgColor rgb="FFF3F7F5"/>
      </x:patternFill>
    </x:fill>
    <x:fill>
      <x:patternFill patternType="solid">
        <x:fgColor rgb="FFE8EFEA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/>
    </x:xf>
    <x:xf numFmtId="200" fontId="0" fillId="5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5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5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4" fillId="2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5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/>
    <x:xf numFmtId="201" fontId="4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5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horizontal="right" vertical="top"/>
    </x:xf>
    <x:xf numFmtId="201" fontId="0" fillId="0" borderId="0" xfId="0" applyNumberFormat="1" applyFont="1" applyFill="1" applyBorder="1" applyAlignment="1">
      <x:alignment horizontal="right" vertical="top"/>
    </x:xf>
    <x:xf numFmtId="200" fontId="0" fillId="5" borderId="0" xfId="0" applyNumberFormat="1" applyFont="1" applyFill="1" applyBorder="1" applyAlignment="1">
      <x:alignment horizontal="right" vertical="top"/>
    </x:xf>
    <x:xf numFmtId="201" fontId="0" fillId="5" borderId="0" xfId="0" applyNumberFormat="1" applyFont="1" applyFill="1" applyBorder="1" applyAlignment="1">
      <x:alignment horizontal="right" vertical="top"/>
    </x:xf>
    <x:xf numFmtId="200" fontId="0" fillId="0" borderId="1" xfId="0" applyNumberFormat="1" applyFont="1" applyFill="1" applyBorder="1" applyAlignment="1">
      <x:alignment horizontal="right" vertical="top"/>
    </x:xf>
    <x:xf numFmtId="201" fontId="0" fillId="0" borderId="1" xfId="0" applyNumberFormat="1" applyFont="1" applyFill="1" applyBorder="1" applyAlignment="1">
      <x:alignment horizontal="right" vertical="top"/>
    </x:xf>
    <x:xf numFmtId="200" fontId="0" fillId="5" borderId="1" xfId="0" applyNumberFormat="1" applyFont="1" applyFill="1" applyBorder="1" applyAlignment="1">
      <x:alignment horizontal="right" vertical="top"/>
    </x:xf>
    <x:xf numFmtId="201" fontId="0" fillId="5" borderId="1" xfId="0" applyNumberFormat="1" applyFont="1" applyFill="1" applyBorder="1" applyAlignment="1">
      <x:alignment horizontal="right" vertical="top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3" fillId="2" borderId="0" xfId="0" applyNumberFormat="1" applyFont="1" applyFill="1" applyBorder="1"/>
    <x:xf numFmtId="200" fontId="0" fillId="0" borderId="1" xfId="0" applyNumberFormat="1" applyFont="1" applyFill="1" applyBorder="1"/>
    <x:xf numFmtId="200" fontId="3" fillId="2" borderId="1" xfId="0" applyNumberFormat="1" applyFont="1" applyFill="1" applyBorder="1"/>
    <x:xf numFmtId="201" fontId="3" fillId="2" borderId="0" xfId="0" applyNumberFormat="1" applyFont="1" applyFill="1" applyBorder="1"/>
    <x:xf numFmtId="201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448b4063647ff" /><Relationship Type="http://schemas.openxmlformats.org/officeDocument/2006/relationships/theme" Target="/xl/theme/theme1.xml" Id="Re03e429730e24932" /><Relationship Type="http://schemas.openxmlformats.org/officeDocument/2006/relationships/sharedStrings" Target="/xl/sharedStrings.xml" Id="Rb1ac868e1860446b" /><Relationship Type="http://schemas.openxmlformats.org/officeDocument/2006/relationships/worksheet" Target="/xl/worksheets/sheet1.xml" Id="R49b0378a353846a5" /><Relationship Type="http://schemas.openxmlformats.org/officeDocument/2006/relationships/worksheet" Target="/xl/worksheets/sheet2.xml" Id="R00400f8972a04766" /><Relationship Type="http://schemas.openxmlformats.org/officeDocument/2006/relationships/worksheet" Target="/xl/worksheets/sheet3.xml" Id="Rdca3730c2e8744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ab601310104e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Valor estimado por ambiente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Área total (m²)</c:v>
          </c:tx>
          <c:cat>
            <c:strRef>
              <c:f>'Resumo'!$A$4:$A$19</c:f>
              <c:strCache>
                <c:ptCount val="0"/>
              </c:strCache>
            </c:strRef>
          </c:cat>
          <c:val>
            <c:numRef>
              <c:f>'Resumo'!$B$4:$B$19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Valor total (R$)</c:v>
          </c:tx>
          <c:cat>
            <c:strRef>
              <c:f>'Resumo'!$A$4:$A$19</c:f>
              <c:strCache>
                <c:ptCount val="0"/>
              </c:strCache>
            </c:strRef>
          </c:cat>
          <c:val>
            <c:numRef>
              <c:f>'Resumo'!$C$4:$C$19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ab601310104e6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Orcamento" displayName="TabelaOrcamento" ref="A4:I36" headerRowCount="1">
  <x:tableColumns count="9">
    <x:tableColumn id="1" name="Item"/>
    <x:tableColumn id="2" name="Ambiente"/>
    <x:tableColumn id="3" name="Mobiliário"/>
    <x:tableColumn id="4" name="Largura (m)"/>
    <x:tableColumn id="5" name="Altura (m)"/>
    <x:tableColumn id="6" name="Área (m²)"/>
    <x:tableColumn id="7" name="Valor unit. (R$/m²)"/>
    <x:tableColumn id="8" name="Valor total (R$)"/>
    <x:tableColumn id="9" name="Detalhamento técnic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c11cdf434b46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55e479c3fff45b4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31" hidden="0" customWidth="1"/>
    <x:col min="4" max="4" width="12" hidden="0" customWidth="1"/>
    <x:col min="5" max="5" width="11" hidden="0" customWidth="1"/>
    <x:col min="6" max="6" width="11" hidden="0" customWidth="1"/>
    <x:col min="7" max="7" width="16" hidden="0" customWidth="1"/>
    <x:col min="8" max="8" width="17" hidden="0" customWidth="1"/>
    <x:col min="9" max="9" width="58" hidden="0" customWidth="1"/>
  </x:cols>
  <x:sheetData>
    <x:row r="1" ht="30" customHeight="1">
      <x:c r="A1" s="5" t="str">
        <x:v>ORÇAMENTO DE MARCENARIA - RESIDÊNCIA SIMONE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2" t="str">
        <x:v>Base de cálculo: área frontal projetada x R$ 2.000,00/m²</x:v>
      </x:c>
      <x:c r="B2" s="12"/>
      <x:c r="C2" s="12"/>
      <x:c r="D2" s="12"/>
      <x:c r="E2" s="12"/>
      <x:c r="F2" s="12"/>
      <x:c r="G2" s="12"/>
      <x:c r="H2" s="12"/>
      <x:c r="I2" s="12"/>
    </x:row>
    <x:row r="4" ht="32" customHeight="1">
      <x:c r="A4" s="20" t="str">
        <x:v>Item</x:v>
      </x:c>
      <x:c r="B4" s="20" t="str">
        <x:v>Ambiente</x:v>
      </x:c>
      <x:c r="C4" s="20" t="str">
        <x:v>Mobiliário</x:v>
      </x:c>
      <x:c r="D4" s="20" t="str">
        <x:v>Largura (m)</x:v>
      </x:c>
      <x:c r="E4" s="20" t="str">
        <x:v>Altura (m)</x:v>
      </x:c>
      <x:c r="F4" s="20" t="str">
        <x:v>Área (m²)</x:v>
      </x:c>
      <x:c r="G4" s="20" t="str">
        <x:v>Valor unit. (R$/m²)</x:v>
      </x:c>
      <x:c r="H4" s="20" t="str">
        <x:v>Valor total (R$)</x:v>
      </x:c>
      <x:c r="I4" s="20" t="str">
        <x:v>Detalhamento técnico</x:v>
      </x:c>
    </x:row>
    <x:row r="5" ht="52" customHeight="1">
      <x:c r="A5" s="53" t="n">
        <x:v>1</x:v>
      </x:c>
      <x:c r="B5" s="29" t="str">
        <x:v>Gourmet / Área Social</x:v>
      </x:c>
      <x:c r="C5" s="29" t="str">
        <x:v>Armário inferior da bancada</x:v>
      </x:c>
      <x:c r="D5" s="57" t="n">
        <x:v>3.36</x:v>
      </x:c>
      <x:c r="E5" s="57" t="n">
        <x:v>0.75</x:v>
      </x:c>
      <x:c r="F5" s="57" t="n">
        <x:f>ROUND(D5*E5,2)</x:f>
        <x:v>2.52</x:v>
      </x:c>
      <x:c r="G5" s="58" t="n">
        <x:v>2000</x:v>
      </x:c>
      <x:c r="H5" s="58" t="n">
        <x:f>ROUND(F5*G5,2)</x:f>
        <x:v>5040</x:v>
      </x:c>
      <x:c r="I5" s="29" t="str">
        <x:v>MDF Carvalho Malva - Duratex; interior Branco TX; 3 gavetas e 5 portas; puxador cava; base revestida no mesmo vinílico do piso; prateleira superior em MDF Palha Trama.</x:v>
      </x:c>
    </x:row>
    <x:row r="6" ht="52" customHeight="1">
      <x:c r="A6" s="54" t="n">
        <x:v>2</x:v>
      </x:c>
      <x:c r="B6" s="32" t="str">
        <x:v>Gourmet / Área Social</x:v>
      </x:c>
      <x:c r="C6" s="32" t="str">
        <x:v>Cristaleira</x:v>
      </x:c>
      <x:c r="D6" s="59" t="n">
        <x:v>1.57</x:v>
      </x:c>
      <x:c r="E6" s="59" t="n">
        <x:v>2.59</x:v>
      </x:c>
      <x:c r="F6" s="59" t="n">
        <x:f>ROUND(D6*E6,2)</x:f>
        <x:v>4.07</x:v>
      </x:c>
      <x:c r="G6" s="60" t="n">
        <x:v>2000</x:v>
      </x:c>
      <x:c r="H6" s="60" t="n">
        <x:f>ROUND(F6*G6,2)</x:f>
        <x:v>8140</x:v>
      </x:c>
      <x:c r="I6" s="32" t="str">
        <x:v>MDF Carvalho Malva - Duratex; portas superiores em vidro canelado; puxador linear slim escovado; gavetas, portas inferiores e prateleiras internas.</x:v>
      </x:c>
    </x:row>
    <x:row r="7" ht="52" customHeight="1">
      <x:c r="A7" s="53" t="n">
        <x:v>3</x:v>
      </x:c>
      <x:c r="B7" s="29" t="str">
        <x:v>Gourmet / Área Social</x:v>
      </x:c>
      <x:c r="C7" s="29" t="str">
        <x:v>Painéis decorativos</x:v>
      </x:c>
      <x:c r="D7" s="57" t="n">
        <x:v>7.19</x:v>
      </x:c>
      <x:c r="E7" s="57" t="n">
        <x:v>2.12</x:v>
      </x:c>
      <x:c r="F7" s="57" t="n">
        <x:f>ROUND(D7*E7,2)</x:f>
        <x:v>15.24</x:v>
      </x:c>
      <x:c r="G7" s="58" t="n">
        <x:v>2000</x:v>
      </x:c>
      <x:c r="H7" s="58" t="n">
        <x:f>ROUND(F7*G7,2)</x:f>
        <x:v>30480</x:v>
      </x:c>
      <x:c r="I7" s="29" t="str">
        <x:v>Painéis em MDF Carvalho Malva - Duratex, incluindo revestimentos das paredes e integração com portas; conferir recortes e vãos no local.</x:v>
      </x:c>
    </x:row>
    <x:row r="8" ht="52" customHeight="1">
      <x:c r="A8" s="54" t="n">
        <x:v>4</x:v>
      </x:c>
      <x:c r="B8" s="32" t="str">
        <x:v>Sala</x:v>
      </x:c>
      <x:c r="C8" s="32" t="str">
        <x:v>Painel/portal com porta integrada</x:v>
      </x:c>
      <x:c r="D8" s="59"/>
      <x:c r="E8" s="59"/>
      <x:c r="F8" s="59" t="n">
        <x:v>12.57</x:v>
      </x:c>
      <x:c r="G8" s="60" t="n">
        <x:v>2000</x:v>
      </x:c>
      <x:c r="H8" s="60" t="n">
        <x:f>ROUND(F8*G8,2)</x:f>
        <x:v>25140</x:v>
      </x:c>
      <x:c r="I8" s="32" t="str">
        <x:v>MDF Carvalho Malva - Duratex; revestimento piso-teto; frisos de 1 cm; porta de correr da cozinha por trás do painel; valor calculado pela área líquida aproximada, descontando os vãos.</x:v>
      </x:c>
    </x:row>
    <x:row r="9" ht="52" customHeight="1">
      <x:c r="A9" s="53" t="n">
        <x:v>5</x:v>
      </x:c>
      <x:c r="B9" s="29" t="str">
        <x:v>Sala</x:v>
      </x:c>
      <x:c r="C9" s="29" t="str">
        <x:v>Porta de correr e portal revestido</x:v>
      </x:c>
      <x:c r="D9" s="57" t="n">
        <x:v>0.84</x:v>
      </x:c>
      <x:c r="E9" s="57" t="n">
        <x:v>2.7</x:v>
      </x:c>
      <x:c r="F9" s="57" t="n">
        <x:f>ROUND(D9*E9,2)</x:f>
        <x:v>2.27</x:v>
      </x:c>
      <x:c r="G9" s="58" t="n">
        <x:v>2000</x:v>
      </x:c>
      <x:c r="H9" s="58" t="n">
        <x:f>ROUND(F9*G9,2)</x:f>
        <x:v>4540</x:v>
      </x:c>
      <x:c r="I9" s="29" t="str">
        <x:v>Porta de correr revestida em MDF Carvalho Malva - Duratex; trilho embutido na sanca; portal com vão interno revestido.</x:v>
      </x:c>
    </x:row>
    <x:row r="10" ht="52" customHeight="1">
      <x:c r="A10" s="54" t="n">
        <x:v>6</x:v>
      </x:c>
      <x:c r="B10" s="32" t="str">
        <x:v>Cozinha</x:v>
      </x:c>
      <x:c r="C10" s="32" t="str">
        <x:v>Armário inferior - bancada 2,00 m</x:v>
      </x:c>
      <x:c r="D10" s="59" t="n">
        <x:v>2</x:v>
      </x:c>
      <x:c r="E10" s="59" t="n">
        <x:v>0.75</x:v>
      </x:c>
      <x:c r="F10" s="59" t="n">
        <x:f>ROUND(D10*E10,2)</x:f>
        <x:v>1.5</x:v>
      </x:c>
      <x:c r="G10" s="60" t="n">
        <x:v>2000</x:v>
      </x:c>
      <x:c r="H10" s="60" t="n">
        <x:f>ROUND(F10*G10,2)</x:f>
        <x:v>3000</x:v>
      </x:c>
      <x:c r="I10" s="32" t="str">
        <x:v>MDF Carvalho Malva - Duratex; interior Branco TX; 4 portas; puxador cava; prateleiras móveis; base revestida no vinílico do piso.</x:v>
      </x:c>
    </x:row>
    <x:row r="11" ht="52" customHeight="1">
      <x:c r="A11" s="53" t="n">
        <x:v>7</x:v>
      </x:c>
      <x:c r="B11" s="29" t="str">
        <x:v>Cozinha</x:v>
      </x:c>
      <x:c r="C11" s="29" t="str">
        <x:v>Conjunto de armários - bancada 3,01 m</x:v>
      </x:c>
      <x:c r="D11" s="57" t="n">
        <x:v>3.01</x:v>
      </x:c>
      <x:c r="E11" s="57" t="n">
        <x:v>1.6</x:v>
      </x:c>
      <x:c r="F11" s="57" t="n">
        <x:f>ROUND(D11*E11,2)</x:f>
        <x:v>4.82</x:v>
      </x:c>
      <x:c r="G11" s="58" t="n">
        <x:v>2000</x:v>
      </x:c>
      <x:c r="H11" s="58" t="n">
        <x:f>ROUND(F11*G11,2)</x:f>
        <x:v>9640</x:v>
      </x:c>
      <x:c r="I11" s="29" t="str">
        <x:v>Armários inferiores em MDF Carvalho Malva e superiores em MDF Palha Trama - Duratex; gavetas, portas, porta-temperos; LED inferior; puxadores cava/passante.</x:v>
      </x:c>
    </x:row>
    <x:row r="12" ht="52" customHeight="1">
      <x:c r="A12" s="54" t="n">
        <x:v>8</x:v>
      </x:c>
      <x:c r="B12" s="32" t="str">
        <x:v>Cozinha</x:v>
      </x:c>
      <x:c r="C12" s="32" t="str">
        <x:v>Torre quente</x:v>
      </x:c>
      <x:c r="D12" s="59" t="n">
        <x:v>1.7</x:v>
      </x:c>
      <x:c r="E12" s="59" t="n">
        <x:v>2.48</x:v>
      </x:c>
      <x:c r="F12" s="59" t="n">
        <x:f>ROUND(D12*E12,2)</x:f>
        <x:v>4.22</x:v>
      </x:c>
      <x:c r="G12" s="60" t="n">
        <x:v>2000</x:v>
      </x:c>
      <x:c r="H12" s="60" t="n">
        <x:f>ROUND(F12*G12,2)</x:f>
        <x:v>8440</x:v>
      </x:c>
      <x:c r="I12" s="32" t="str">
        <x:v>MDF Carvalho Malva e MDF Palha Trama - Duratex; nichos para forno e micro-ondas; portas superiores; gaveta inferior; detalhes com ressalto em MDF 6 mm.</x:v>
      </x:c>
    </x:row>
    <x:row r="13" ht="52" customHeight="1">
      <x:c r="A13" s="53" t="n">
        <x:v>9</x:v>
      </x:c>
      <x:c r="B13" s="29" t="str">
        <x:v>Cozinha</x:v>
      </x:c>
      <x:c r="C13" s="29" t="str">
        <x:v>Mesa de apoio</x:v>
      </x:c>
      <x:c r="D13" s="57" t="n">
        <x:v>1.44</x:v>
      </x:c>
      <x:c r="E13" s="57" t="n">
        <x:v>0.85</x:v>
      </x:c>
      <x:c r="F13" s="57" t="n">
        <x:f>ROUND(D13*E13,2)</x:f>
        <x:v>1.22</x:v>
      </x:c>
      <x:c r="G13" s="58" t="n">
        <x:v>2000</x:v>
      </x:c>
      <x:c r="H13" s="58" t="n">
        <x:f>ROUND(F13*G13,2)</x:f>
        <x:v>2440</x:v>
      </x:c>
      <x:c r="I13" s="29" t="str">
        <x:v>Mesa em MDF Carvalho Malva - Duratex; tampo suspenso; canto curvo; fixação integrada à torre quente.</x:v>
      </x:c>
    </x:row>
    <x:row r="14" ht="52" customHeight="1">
      <x:c r="A14" s="54" t="n">
        <x:v>10</x:v>
      </x:c>
      <x:c r="B14" s="32" t="str">
        <x:v>Lavabo</x:v>
      </x:c>
      <x:c r="C14" s="32" t="str">
        <x:v>Tampo e prateleira</x:v>
      </x:c>
      <x:c r="D14" s="59" t="n">
        <x:v>1.6</x:v>
      </x:c>
      <x:c r="E14" s="59" t="n">
        <x:v>0.25</x:v>
      </x:c>
      <x:c r="F14" s="59" t="n">
        <x:f>ROUND(D14*E14,2)</x:f>
        <x:v>0.4</x:v>
      </x:c>
      <x:c r="G14" s="60" t="n">
        <x:v>2000</x:v>
      </x:c>
      <x:c r="H14" s="60" t="n">
        <x:f>ROUND(F14*G14,2)</x:f>
        <x:v>800</x:v>
      </x:c>
      <x:c r="I14" s="32" t="str">
        <x:v>Tampo e prateleira em MDF Carvalho Malva - Duratex; frente fixa; suporte/estrutura oculta.</x:v>
      </x:c>
    </x:row>
    <x:row r="15" ht="52" customHeight="1">
      <x:c r="A15" s="53" t="n">
        <x:v>11</x:v>
      </x:c>
      <x:c r="B15" s="29" t="str">
        <x:v>Lavabo</x:v>
      </x:c>
      <x:c r="C15" s="29" t="str">
        <x:v>Base do espelho</x:v>
      </x:c>
      <x:c r="D15" s="57" t="n">
        <x:v>1</x:v>
      </x:c>
      <x:c r="E15" s="57" t="n">
        <x:v>1</x:v>
      </x:c>
      <x:c r="F15" s="57" t="n">
        <x:f>ROUND(D15*E15,2)</x:f>
        <x:v>1</x:v>
      </x:c>
      <x:c r="G15" s="58" t="n">
        <x:v>2000</x:v>
      </x:c>
      <x:c r="H15" s="58" t="n">
        <x:f>ROUND(F15*G15,2)</x:f>
        <x:v>2000</x:v>
      </x:c>
      <x:c r="I15" s="29" t="str">
        <x:v>Base em MDF Carvalho Malva - Duratex para espelho redondo; espelho e instalação conforme detalhamento.</x:v>
      </x:c>
    </x:row>
    <x:row r="16" ht="52" customHeight="1">
      <x:c r="A16" s="54" t="n">
        <x:v>12</x:v>
      </x:c>
      <x:c r="B16" s="32" t="str">
        <x:v>Lavanderia</x:v>
      </x:c>
      <x:c r="C16" s="32" t="str">
        <x:v>Armário principal</x:v>
      </x:c>
      <x:c r="D16" s="59" t="n">
        <x:v>2.44</x:v>
      </x:c>
      <x:c r="E16" s="59" t="n">
        <x:v>0.85</x:v>
      </x:c>
      <x:c r="F16" s="59" t="n">
        <x:f>ROUND(D16*E16,2)</x:f>
        <x:v>2.07</x:v>
      </x:c>
      <x:c r="G16" s="60" t="n">
        <x:v>2000</x:v>
      </x:c>
      <x:c r="H16" s="60" t="n">
        <x:f>ROUND(F16*G16,2)</x:f>
        <x:v>4140</x:v>
      </x:c>
      <x:c r="I16" s="32" t="str">
        <x:v>MDF Carvalho Malva - Duratex; portas com puxador cava; nichos e prateleiras; espaço técnico para equipamentos; base revestida.</x:v>
      </x:c>
    </x:row>
    <x:row r="17" ht="52" customHeight="1">
      <x:c r="A17" s="53" t="n">
        <x:v>13</x:v>
      </x:c>
      <x:c r="B17" s="29" t="str">
        <x:v>Lavanderia</x:v>
      </x:c>
      <x:c r="C17" s="29" t="str">
        <x:v>Armário alto / vassoureiro</x:v>
      </x:c>
      <x:c r="D17" s="57" t="n">
        <x:v>0.6</x:v>
      </x:c>
      <x:c r="E17" s="57" t="n">
        <x:v>2.44</x:v>
      </x:c>
      <x:c r="F17" s="57" t="n">
        <x:f>ROUND(D17*E17,2)</x:f>
        <x:v>1.46</x:v>
      </x:c>
      <x:c r="G17" s="58" t="n">
        <x:v>2000</x:v>
      </x:c>
      <x:c r="H17" s="58" t="n">
        <x:f>ROUND(F17*G17,2)</x:f>
        <x:v>2920</x:v>
      </x:c>
      <x:c r="I17" s="29" t="str">
        <x:v>MDF Carvalho Malva - Duratex; vassoureiro; prateleiras internas; porta com puxador cava vertical.</x:v>
      </x:c>
    </x:row>
    <x:row r="18" ht="52" customHeight="1">
      <x:c r="A18" s="54" t="n">
        <x:v>14</x:v>
      </x:c>
      <x:c r="B18" s="32" t="str">
        <x:v>Despensa</x:v>
      </x:c>
      <x:c r="C18" s="32" t="str">
        <x:v>Conjunto de prateleiras</x:v>
      </x:c>
      <x:c r="D18" s="59" t="n">
        <x:v>2.38</x:v>
      </x:c>
      <x:c r="E18" s="59" t="n">
        <x:v>2.23</x:v>
      </x:c>
      <x:c r="F18" s="59" t="n">
        <x:f>ROUND(D18*E18,2)</x:f>
        <x:v>5.31</x:v>
      </x:c>
      <x:c r="G18" s="60" t="n">
        <x:v>2000</x:v>
      </x:c>
      <x:c r="H18" s="60" t="n">
        <x:f>ROUND(F18*G18,2)</x:f>
        <x:v>10620</x:v>
      </x:c>
      <x:c r="I18" s="32" t="str">
        <x:v>Prateleiras reforçadas em MDF Palha Trama - Duratex; apoiadas no chão; pés/apoios em serralheria conforme projeto.</x:v>
      </x:c>
    </x:row>
    <x:row r="19" ht="52" customHeight="1">
      <x:c r="A19" s="53" t="n">
        <x:v>15</x:v>
      </x:c>
      <x:c r="B19" s="29" t="str">
        <x:v>Escritório</x:v>
      </x:c>
      <x:c r="C19" s="29" t="str">
        <x:v>Mesa, painel e prateleiras</x:v>
      </x:c>
      <x:c r="D19" s="57" t="n">
        <x:v>2.03</x:v>
      </x:c>
      <x:c r="E19" s="57" t="n">
        <x:v>1.43</x:v>
      </x:c>
      <x:c r="F19" s="57" t="n">
        <x:f>ROUND(D19*E19,2)</x:f>
        <x:v>2.9</x:v>
      </x:c>
      <x:c r="G19" s="58" t="n">
        <x:v>2000</x:v>
      </x:c>
      <x:c r="H19" s="58" t="n">
        <x:f>ROUND(F19*G19,2)</x:f>
        <x:v>5800</x:v>
      </x:c>
      <x:c r="I19" s="29" t="str">
        <x:v>Mesa, painel e prateleiras em MDF Carvalho Malva - Duratex; armários estreitos para passagem de cabos; passa-fios; portas e prateleiras internas.</x:v>
      </x:c>
    </x:row>
    <x:row r="20" ht="52" customHeight="1">
      <x:c r="A20" s="54" t="n">
        <x:v>16</x:v>
      </x:c>
      <x:c r="B20" s="32" t="str">
        <x:v>Escritório</x:v>
      </x:c>
      <x:c r="C20" s="32" t="str">
        <x:v>Armário alto</x:v>
      </x:c>
      <x:c r="D20" s="59" t="n">
        <x:v>0.53</x:v>
      </x:c>
      <x:c r="E20" s="59" t="n">
        <x:v>2.43</x:v>
      </x:c>
      <x:c r="F20" s="59" t="n">
        <x:f>ROUND(D20*E20,2)</x:f>
        <x:v>1.29</x:v>
      </x:c>
      <x:c r="G20" s="60" t="n">
        <x:v>2000</x:v>
      </x:c>
      <x:c r="H20" s="60" t="n">
        <x:f>ROUND(F20*G20,2)</x:f>
        <x:v>2580</x:v>
      </x:c>
      <x:c r="I20" s="32" t="str">
        <x:v>MDF Palha Trama - Duratex; porta com puxador no próprio MDF; prateleiras internas; interior Branco TX; base revestida.</x:v>
      </x:c>
    </x:row>
    <x:row r="21" ht="52" customHeight="1">
      <x:c r="A21" s="53" t="n">
        <x:v>17</x:v>
      </x:c>
      <x:c r="B21" s="29" t="str">
        <x:v>Corredor</x:v>
      </x:c>
      <x:c r="C21" s="29" t="str">
        <x:v>Armário alto para apoio/limpeza</x:v>
      </x:c>
      <x:c r="D21" s="57" t="n">
        <x:v>1.31</x:v>
      </x:c>
      <x:c r="E21" s="57" t="n">
        <x:v>2.55</x:v>
      </x:c>
      <x:c r="F21" s="57" t="n">
        <x:f>ROUND(D21*E21,2)</x:f>
        <x:v>3.34</x:v>
      </x:c>
      <x:c r="G21" s="58" t="n">
        <x:v>2000</x:v>
      </x:c>
      <x:c r="H21" s="58" t="n">
        <x:f>ROUND(F21*G21,2)</x:f>
        <x:v>6680</x:v>
      </x:c>
      <x:c r="I21" s="29" t="str">
        <x:v>MDF Palha Trama - Duratex; prateleiras, vão para aspirador/robô aspirador; portas com moldura e puxador cava; interior Branco TX.</x:v>
      </x:c>
    </x:row>
    <x:row r="22" ht="52" customHeight="1">
      <x:c r="A22" s="54" t="n">
        <x:v>18</x:v>
      </x:c>
      <x:c r="B22" s="32" t="str">
        <x:v>Corredor</x:v>
      </x:c>
      <x:c r="C22" s="32" t="str">
        <x:v>Armário, mesa e painel</x:v>
      </x:c>
      <x:c r="D22" s="59" t="n">
        <x:v>1.65</x:v>
      </x:c>
      <x:c r="E22" s="59" t="n">
        <x:v>1.68</x:v>
      </x:c>
      <x:c r="F22" s="59" t="n">
        <x:f>ROUND(D22*E22,2)</x:f>
        <x:v>2.77</x:v>
      </x:c>
      <x:c r="G22" s="60" t="n">
        <x:v>2000</x:v>
      </x:c>
      <x:c r="H22" s="60" t="n">
        <x:f>ROUND(F22*G22,2)</x:f>
        <x:v>5540</x:v>
      </x:c>
      <x:c r="I22" s="32" t="str">
        <x:v>MDF Carvalho Malva e MDF Palha Trama - Duratex; armário alto, mesa com gavetas e tomada embutida, painéis, cava e fitas de LED.</x:v>
      </x:c>
    </x:row>
    <x:row r="23" ht="52" customHeight="1">
      <x:c r="A23" s="53" t="n">
        <x:v>19</x:v>
      </x:c>
      <x:c r="B23" s="29" t="str">
        <x:v>Corredor</x:v>
      </x:c>
      <x:c r="C23" s="29" t="str">
        <x:v>Painel com espelho</x:v>
      </x:c>
      <x:c r="D23" s="57" t="n">
        <x:v>0.5</x:v>
      </x:c>
      <x:c r="E23" s="57" t="n">
        <x:v>1.9</x:v>
      </x:c>
      <x:c r="F23" s="57" t="n">
        <x:f>ROUND(D23*E23,2)</x:f>
        <x:v>0.95</x:v>
      </x:c>
      <x:c r="G23" s="58" t="n">
        <x:v>2000</x:v>
      </x:c>
      <x:c r="H23" s="58" t="n">
        <x:f>ROUND(F23*G23,2)</x:f>
        <x:v>1900</x:v>
      </x:c>
      <x:c r="I23" s="29" t="str">
        <x:v>Base em MDF Carvalho Malva - Duratex com borda ressaltada; espelho prata lapidado colado.</x:v>
      </x:c>
    </x:row>
    <x:row r="24" ht="52" customHeight="1">
      <x:c r="A24" s="54" t="n">
        <x:v>20</x:v>
      </x:c>
      <x:c r="B24" s="32" t="str">
        <x:v>Suíte dos Filhos</x:v>
      </x:c>
      <x:c r="C24" s="32" t="str">
        <x:v>Cama com bicama/gavetões</x:v>
      </x:c>
      <x:c r="D24" s="59" t="n">
        <x:v>2</x:v>
      </x:c>
      <x:c r="E24" s="59" t="n">
        <x:v>1.2</x:v>
      </x:c>
      <x:c r="F24" s="59" t="n">
        <x:f>ROUND(D24*E24,2)</x:f>
        <x:v>2.4</x:v>
      </x:c>
      <x:c r="G24" s="60" t="n">
        <x:v>2000</x:v>
      </x:c>
      <x:c r="H24" s="60" t="n">
        <x:f>ROUND(F24*G24,2)</x:f>
        <x:v>4800</x:v>
      </x:c>
      <x:c r="I24" s="32" t="str">
        <x:v>MDF Carvalho Malva e MDF Palha Trama - Duratex; bicama, gavetões, escada de acesso e molduras em MDF 6 mm.</x:v>
      </x:c>
    </x:row>
    <x:row r="25" ht="52" customHeight="1">
      <x:c r="A25" s="53" t="n">
        <x:v>21</x:v>
      </x:c>
      <x:c r="B25" s="29" t="str">
        <x:v>Suíte dos Filhos</x:v>
      </x:c>
      <x:c r="C25" s="29" t="str">
        <x:v>Armário</x:v>
      </x:c>
      <x:c r="D25" s="57" t="n">
        <x:v>1.85</x:v>
      </x:c>
      <x:c r="E25" s="57" t="n">
        <x:v>2.45</x:v>
      </x:c>
      <x:c r="F25" s="57" t="n">
        <x:f>ROUND(D25*E25,2)</x:f>
        <x:v>4.53</x:v>
      </x:c>
      <x:c r="G25" s="58" t="n">
        <x:v>2000</x:v>
      </x:c>
      <x:c r="H25" s="58" t="n">
        <x:f>ROUND(F25*G25,2)</x:f>
        <x:v>9060</x:v>
      </x:c>
      <x:c r="I25" s="29" t="str">
        <x:v>MDF Palha Trama - Duratex; 4 portas; maleiros; cabideiros; gavetas; sapateira com corrediça; interior Branco TX; puxador cava.</x:v>
      </x:c>
    </x:row>
    <x:row r="26" ht="52" customHeight="1">
      <x:c r="A26" s="54" t="n">
        <x:v>22</x:v>
      </x:c>
      <x:c r="B26" s="32" t="str">
        <x:v>Banheiro dos Filhos</x:v>
      </x:c>
      <x:c r="C26" s="32" t="str">
        <x:v>Tampo e prateleira</x:v>
      </x:c>
      <x:c r="D26" s="59" t="n">
        <x:v>0.84</x:v>
      </x:c>
      <x:c r="E26" s="59" t="n">
        <x:v>0.25</x:v>
      </x:c>
      <x:c r="F26" s="59" t="n">
        <x:f>ROUND(D26*E26,2)</x:f>
        <x:v>0.21</x:v>
      </x:c>
      <x:c r="G26" s="60" t="n">
        <x:v>2000</x:v>
      </x:c>
      <x:c r="H26" s="60" t="n">
        <x:f>ROUND(F26*G26,2)</x:f>
        <x:v>420</x:v>
      </x:c>
      <x:c r="I26" s="32" t="str">
        <x:v>MDF Carvalho Malva - Duratex; tampo, prateleira e frente fixa para bancada.</x:v>
      </x:c>
    </x:row>
    <x:row r="27" ht="52" customHeight="1">
      <x:c r="A27" s="53" t="n">
        <x:v>23</x:v>
      </x:c>
      <x:c r="B27" s="29" t="str">
        <x:v>Suíte da Filha</x:v>
      </x:c>
      <x:c r="C27" s="29" t="str">
        <x:v>Cama com bicama</x:v>
      </x:c>
      <x:c r="D27" s="57" t="n">
        <x:v>2.45</x:v>
      </x:c>
      <x:c r="E27" s="57" t="n">
        <x:v>1</x:v>
      </x:c>
      <x:c r="F27" s="57" t="n">
        <x:f>ROUND(D27*E27,2)</x:f>
        <x:v>2.45</x:v>
      </x:c>
      <x:c r="G27" s="58" t="n">
        <x:v>2000</x:v>
      </x:c>
      <x:c r="H27" s="58" t="n">
        <x:f>ROUND(F27*G27,2)</x:f>
        <x:v>4900</x:v>
      </x:c>
      <x:c r="I27" s="29" t="str">
        <x:v>MDF Carvalho Malva - Duratex; bicama; tampa removível para armazenamento; moldura para colchão auxiliar; puxador cava.</x:v>
      </x:c>
    </x:row>
    <x:row r="28" ht="52" customHeight="1">
      <x:c r="A28" s="54" t="n">
        <x:v>24</x:v>
      </x:c>
      <x:c r="B28" s="32" t="str">
        <x:v>Suíte da Filha</x:v>
      </x:c>
      <x:c r="C28" s="32" t="str">
        <x:v>Painel/cabeceira</x:v>
      </x:c>
      <x:c r="D28" s="59" t="n">
        <x:v>3.02</x:v>
      </x:c>
      <x:c r="E28" s="59" t="n">
        <x:v>0.95</x:v>
      </x:c>
      <x:c r="F28" s="59" t="n">
        <x:f>ROUND(D28*E28,2)</x:f>
        <x:v>2.87</x:v>
      </x:c>
      <x:c r="G28" s="60" t="n">
        <x:v>2000</x:v>
      </x:c>
      <x:c r="H28" s="60" t="n">
        <x:f>ROUND(F28*G28,2)</x:f>
        <x:v>5740</x:v>
      </x:c>
      <x:c r="I28" s="32" t="str">
        <x:v>MDF Carvalho Malva e MDF Palha Trama - Duratex; palhinha indiana; moldura com ressalto; fita de LED atrás do painel.</x:v>
      </x:c>
    </x:row>
    <x:row r="29" ht="52" customHeight="1">
      <x:c r="A29" s="53" t="n">
        <x:v>25</x:v>
      </x:c>
      <x:c r="B29" s="29" t="str">
        <x:v>Suíte da Filha</x:v>
      </x:c>
      <x:c r="C29" s="29" t="str">
        <x:v>Armário</x:v>
      </x:c>
      <x:c r="D29" s="57" t="n">
        <x:v>1.5</x:v>
      </x:c>
      <x:c r="E29" s="57" t="n">
        <x:v>2.45</x:v>
      </x:c>
      <x:c r="F29" s="57" t="n">
        <x:f>ROUND(D29*E29,2)</x:f>
        <x:v>3.68</x:v>
      </x:c>
      <x:c r="G29" s="58" t="n">
        <x:v>2000</x:v>
      </x:c>
      <x:c r="H29" s="58" t="n">
        <x:f>ROUND(F29*G29,2)</x:f>
        <x:v>7360</x:v>
      </x:c>
      <x:c r="I29" s="29" t="str">
        <x:v>MDF Palha Trama - Duratex; 3 portas com palhinha indiana; moldura de 3 cm; maleiros, prateleiras, gavetas, sapateiras e cabideiro.</x:v>
      </x:c>
    </x:row>
    <x:row r="30" ht="52" customHeight="1">
      <x:c r="A30" s="54" t="n">
        <x:v>26</x:v>
      </x:c>
      <x:c r="B30" s="32" t="str">
        <x:v>Banheiro da Filha</x:v>
      </x:c>
      <x:c r="C30" s="32" t="str">
        <x:v>Tampo, prateleira e painel de espelho</x:v>
      </x:c>
      <x:c r="D30" s="59" t="n">
        <x:v>1.12</x:v>
      </x:c>
      <x:c r="E30" s="59" t="n">
        <x:v>0.78</x:v>
      </x:c>
      <x:c r="F30" s="59" t="n">
        <x:f>ROUND(D30*E30,2)</x:f>
        <x:v>0.87</x:v>
      </x:c>
      <x:c r="G30" s="60" t="n">
        <x:v>2000</x:v>
      </x:c>
      <x:c r="H30" s="60" t="n">
        <x:f>ROUND(F30*G30,2)</x:f>
        <x:v>1740</x:v>
      </x:c>
      <x:c r="I30" s="32" t="str">
        <x:v>MDF Carvalho Malva - Duratex; tampo, prateleiras, porta com ressalto; espelho prata lapidado colado no MDF.</x:v>
      </x:c>
    </x:row>
    <x:row r="31" ht="52" customHeight="1">
      <x:c r="A31" s="53" t="n">
        <x:v>27</x:v>
      </x:c>
      <x:c r="B31" s="29" t="str">
        <x:v>Suíte Master</x:v>
      </x:c>
      <x:c r="C31" s="29" t="str">
        <x:v>Painel/cabeceira</x:v>
      </x:c>
      <x:c r="D31" s="57"/>
      <x:c r="E31" s="57"/>
      <x:c r="F31" s="57" t="n">
        <x:v>7.77</x:v>
      </x:c>
      <x:c r="G31" s="58" t="n">
        <x:v>2000</x:v>
      </x:c>
      <x:c r="H31" s="58" t="n">
        <x:f>ROUND(F31*G31,2)</x:f>
        <x:v>15540</x:v>
      </x:c>
      <x:c r="I31" s="29" t="str">
        <x:v>MDF Carvalho Malva - Duratex; cabeceira com palhinha indiana, muxarabi e fitas de LED; área líquida aproximada com desconto do vão da porta.</x:v>
      </x:c>
    </x:row>
    <x:row r="32" ht="52" customHeight="1">
      <x:c r="A32" s="54" t="n">
        <x:v>28</x:v>
      </x:c>
      <x:c r="B32" s="32" t="str">
        <x:v>Suíte Master</x:v>
      </x:c>
      <x:c r="C32" s="32" t="str">
        <x:v>Penteadeira suspensa</x:v>
      </x:c>
      <x:c r="D32" s="59" t="n">
        <x:v>2.2</x:v>
      </x:c>
      <x:c r="E32" s="59" t="n">
        <x:v>0.5</x:v>
      </x:c>
      <x:c r="F32" s="59" t="n">
        <x:f>ROUND(D32*E32,2)</x:f>
        <x:v>1.1</x:v>
      </x:c>
      <x:c r="G32" s="60" t="n">
        <x:v>2000</x:v>
      </x:c>
      <x:c r="H32" s="60" t="n">
        <x:f>ROUND(F32*G32,2)</x:f>
        <x:v>2200</x:v>
      </x:c>
      <x:c r="I32" s="32" t="str">
        <x:v>MDF Carvalho Malva - Duratex; 4 gavetas com puxador cava arredondado; canto curvo; fixação suspensa na parede.</x:v>
      </x:c>
    </x:row>
    <x:row r="33" ht="52" customHeight="1">
      <x:c r="A33" s="53" t="n">
        <x:v>29</x:v>
      </x:c>
      <x:c r="B33" s="29" t="str">
        <x:v>Suíte Master / Closet</x:v>
      </x:c>
      <x:c r="C33" s="29" t="str">
        <x:v>Portas de correr do closet</x:v>
      </x:c>
      <x:c r="D33" s="57" t="n">
        <x:v>2.34</x:v>
      </x:c>
      <x:c r="E33" s="57" t="n">
        <x:v>2.54</x:v>
      </x:c>
      <x:c r="F33" s="57" t="n">
        <x:f>ROUND(D33*E33,2)</x:f>
        <x:v>5.94</x:v>
      </x:c>
      <x:c r="G33" s="58" t="n">
        <x:v>2000</x:v>
      </x:c>
      <x:c r="H33" s="58" t="n">
        <x:f>ROUND(F33*G33,2)</x:f>
        <x:v>11880</x:v>
      </x:c>
      <x:c r="I33" s="29" t="str">
        <x:v>2 portas de correr; lado do quarto revestido com o mesmo papel de parede e lado do closet com espelho prata lapidado colado no MDF; laterais fixas.</x:v>
      </x:c>
    </x:row>
    <x:row r="34" ht="52" customHeight="1">
      <x:c r="A34" s="54" t="n">
        <x:v>30</x:v>
      </x:c>
      <x:c r="B34" s="32" t="str">
        <x:v>Closet Master</x:v>
      </x:c>
      <x:c r="C34" s="32" t="str">
        <x:v>Armário 1</x:v>
      </x:c>
      <x:c r="D34" s="59" t="n">
        <x:v>2.57</x:v>
      </x:c>
      <x:c r="E34" s="59" t="n">
        <x:v>2.44</x:v>
      </x:c>
      <x:c r="F34" s="59" t="n">
        <x:f>ROUND(D34*E34,2)</x:f>
        <x:v>6.27</x:v>
      </x:c>
      <x:c r="G34" s="60" t="n">
        <x:v>2000</x:v>
      </x:c>
      <x:c r="H34" s="60" t="n">
        <x:f>ROUND(F34*G34,2)</x:f>
        <x:v>12540</x:v>
      </x:c>
      <x:c r="I34" s="32" t="str">
        <x:v>MDF Palha Trama - Duratex; 4 portas; maleiros; cabideiros; gavetas; sapateiras com corrediça; cofre e tábua de passar embutida.</x:v>
      </x:c>
    </x:row>
    <x:row r="35" ht="52" customHeight="1">
      <x:c r="A35" s="53" t="n">
        <x:v>31</x:v>
      </x:c>
      <x:c r="B35" s="29" t="str">
        <x:v>Closet Master</x:v>
      </x:c>
      <x:c r="C35" s="29" t="str">
        <x:v>Armário 2</x:v>
      </x:c>
      <x:c r="D35" s="57" t="n">
        <x:v>1.45</x:v>
      </x:c>
      <x:c r="E35" s="57" t="n">
        <x:v>2.44</x:v>
      </x:c>
      <x:c r="F35" s="57" t="n">
        <x:f>ROUND(D35*E35,2)</x:f>
        <x:v>3.54</x:v>
      </x:c>
      <x:c r="G35" s="58" t="n">
        <x:v>2000</x:v>
      </x:c>
      <x:c r="H35" s="58" t="n">
        <x:f>ROUND(F35*G35,2)</x:f>
        <x:v>7080</x:v>
      </x:c>
      <x:c r="I35" s="29" t="str">
        <x:v>MDF Palha Trama - Duratex; 3 portas; maleiros; cabideiros; gavetas e sapateiras com corrediça; puxador cava vertical.</x:v>
      </x:c>
    </x:row>
    <x:row r="36" ht="52" customHeight="1">
      <x:c r="A36" s="54" t="n">
        <x:v>32</x:v>
      </x:c>
      <x:c r="B36" s="32" t="str">
        <x:v>Banheiro Master</x:v>
      </x:c>
      <x:c r="C36" s="32" t="str">
        <x:v>Armário da bancada</x:v>
      </x:c>
      <x:c r="D36" s="59" t="n">
        <x:v>1.6</x:v>
      </x:c>
      <x:c r="E36" s="59" t="n">
        <x:v>0.63</x:v>
      </x:c>
      <x:c r="F36" s="59" t="n">
        <x:f>ROUND(D36*E36,2)</x:f>
        <x:v>1.01</x:v>
      </x:c>
      <x:c r="G36" s="60" t="n">
        <x:v>2000</x:v>
      </x:c>
      <x:c r="H36" s="60" t="n">
        <x:f>ROUND(F36*G36,2)</x:f>
        <x:v>2020</x:v>
      </x:c>
      <x:c r="I36" s="32" t="str">
        <x:v>MDF Carvalho Malva - Duratex; 4 portas e 4 gavetas; moldura de 1 cm; puxadores cava; prateleira interna e fechamento frontal fixo.</x:v>
      </x:c>
    </x:row>
    <x:row r="37">
      <x:c r="G37" s="47"/>
      <x:c r="H37" s="47"/>
    </x:row>
    <x:row r="38">
      <x:c r="A38" s="37" t="str">
        <x:v>VALOR TOTAL DO ORÇAMENTO</x:v>
      </x:c>
      <x:c r="B38" s="37"/>
      <x:c r="C38" s="37"/>
      <x:c r="D38" s="37"/>
      <x:c r="E38" s="37"/>
      <x:c r="F38" s="37"/>
      <x:c r="G38" s="48"/>
      <x:c r="H38" s="48" t="n">
        <x:f>SUM(H5:H36)</x:f>
        <x:v>225120</x:v>
      </x:c>
      <x:c r="I38" s="37" t="str">
        <x:v>Valores sujeitos à conferência final das medidas no local.</x:v>
      </x:c>
    </x:row>
  </x:sheetData>
  <x:mergeCells>
    <x:mergeCell ref="A1:H1"/>
    <x:mergeCell ref="A2:H2"/>
    <x:mergeCell ref="A38:G38"/>
  </x:mergeCells>
  <x:pageMargins left="0.7" right="0.7" top="0.75" bottom="0.75" header="0.3" footer="0.3"/>
  <x:tableParts count="1">
    <x:tablePart xmlns:r="http://schemas.openxmlformats.org/officeDocument/2006/relationships" r:id="R4bc11cdf434b46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</x:cols>
  <x:sheetData>
    <x:row r="1">
      <x:c r="A1" s="5" t="str">
        <x:v>RESUMO DO ORÇAMENTO POR AMBIENTE</x:v>
      </x:c>
      <x:c r="B1" s="5"/>
      <x:c r="C1" s="5"/>
      <x:c r="D1" s="5"/>
      <x:c r="E1" s="5"/>
      <x:c r="F1" s="5"/>
    </x:row>
    <x:row r="3">
      <x:c r="A3" s="20" t="str">
        <x:v>Ambiente</x:v>
      </x:c>
      <x:c r="B3" s="20" t="str">
        <x:v>Área total (m²)</x:v>
      </x:c>
      <x:c r="C3" s="20" t="str">
        <x:v>Valor total (R$)</x:v>
      </x:c>
    </x:row>
    <x:row r="4">
      <x:c r="A4" s="26" t="str">
        <x:v>Gourmet / Área Social</x:v>
      </x:c>
      <x:c r="B4" s="67" t="n">
        <x:f>SUMIF('Orçamento'!$B$5:$B$36,A4,'Orçamento'!$F$5:$F$36)</x:f>
        <x:v>21.83</x:v>
      </x:c>
      <x:c r="C4" s="47" t="n">
        <x:f>SUMIF('Orçamento'!$B$5:$B$36,A4,'Orçamento'!$H$5:$H$36)</x:f>
        <x:v>43660</x:v>
      </x:c>
    </x:row>
    <x:row r="5">
      <x:c r="A5" s="26" t="str">
        <x:v>Sala</x:v>
      </x:c>
      <x:c r="B5" s="67" t="n">
        <x:f>SUMIF('Orçamento'!$B$5:$B$36,A5,'Orçamento'!$F$5:$F$36)</x:f>
        <x:v>14.84</x:v>
      </x:c>
      <x:c r="C5" s="47" t="n">
        <x:f>SUMIF('Orçamento'!$B$5:$B$36,A5,'Orçamento'!$H$5:$H$36)</x:f>
        <x:v>29680</x:v>
      </x:c>
    </x:row>
    <x:row r="6">
      <x:c r="A6" s="26" t="str">
        <x:v>Cozinha</x:v>
      </x:c>
      <x:c r="B6" s="67" t="n">
        <x:f>SUMIF('Orçamento'!$B$5:$B$36,A6,'Orçamento'!$F$5:$F$36)</x:f>
        <x:v>11.76</x:v>
      </x:c>
      <x:c r="C6" s="47" t="n">
        <x:f>SUMIF('Orçamento'!$B$5:$B$36,A6,'Orçamento'!$H$5:$H$36)</x:f>
        <x:v>23520</x:v>
      </x:c>
    </x:row>
    <x:row r="7">
      <x:c r="A7" s="26" t="str">
        <x:v>Lavabo</x:v>
      </x:c>
      <x:c r="B7" s="67" t="n">
        <x:f>SUMIF('Orçamento'!$B$5:$B$36,A7,'Orçamento'!$F$5:$F$36)</x:f>
        <x:v>1.4</x:v>
      </x:c>
      <x:c r="C7" s="47" t="n">
        <x:f>SUMIF('Orçamento'!$B$5:$B$36,A7,'Orçamento'!$H$5:$H$36)</x:f>
        <x:v>2800</x:v>
      </x:c>
    </x:row>
    <x:row r="8">
      <x:c r="A8" s="26" t="str">
        <x:v>Lavanderia</x:v>
      </x:c>
      <x:c r="B8" s="67" t="n">
        <x:f>SUMIF('Orçamento'!$B$5:$B$36,A8,'Orçamento'!$F$5:$F$36)</x:f>
        <x:v>3.53</x:v>
      </x:c>
      <x:c r="C8" s="47" t="n">
        <x:f>SUMIF('Orçamento'!$B$5:$B$36,A8,'Orçamento'!$H$5:$H$36)</x:f>
        <x:v>7060</x:v>
      </x:c>
    </x:row>
    <x:row r="9">
      <x:c r="A9" s="26" t="str">
        <x:v>Despensa</x:v>
      </x:c>
      <x:c r="B9" s="67" t="n">
        <x:f>SUMIF('Orçamento'!$B$5:$B$36,A9,'Orçamento'!$F$5:$F$36)</x:f>
        <x:v>5.31</x:v>
      </x:c>
      <x:c r="C9" s="47" t="n">
        <x:f>SUMIF('Orçamento'!$B$5:$B$36,A9,'Orçamento'!$H$5:$H$36)</x:f>
        <x:v>10620</x:v>
      </x:c>
    </x:row>
    <x:row r="10">
      <x:c r="A10" s="26" t="str">
        <x:v>Escritório</x:v>
      </x:c>
      <x:c r="B10" s="67" t="n">
        <x:f>SUMIF('Orçamento'!$B$5:$B$36,A10,'Orçamento'!$F$5:$F$36)</x:f>
        <x:v>4.1899999999999995</x:v>
      </x:c>
      <x:c r="C10" s="47" t="n">
        <x:f>SUMIF('Orçamento'!$B$5:$B$36,A10,'Orçamento'!$H$5:$H$36)</x:f>
        <x:v>8380</x:v>
      </x:c>
    </x:row>
    <x:row r="11">
      <x:c r="A11" s="26" t="str">
        <x:v>Corredor</x:v>
      </x:c>
      <x:c r="B11" s="67" t="n">
        <x:f>SUMIF('Orçamento'!$B$5:$B$36,A11,'Orçamento'!$F$5:$F$36)</x:f>
        <x:v>7.06</x:v>
      </x:c>
      <x:c r="C11" s="47" t="n">
        <x:f>SUMIF('Orçamento'!$B$5:$B$36,A11,'Orçamento'!$H$5:$H$36)</x:f>
        <x:v>14120</x:v>
      </x:c>
    </x:row>
    <x:row r="12">
      <x:c r="A12" s="26" t="str">
        <x:v>Suíte dos Filhos</x:v>
      </x:c>
      <x:c r="B12" s="67" t="n">
        <x:f>SUMIF('Orçamento'!$B$5:$B$36,A12,'Orçamento'!$F$5:$F$36)</x:f>
        <x:v>6.93</x:v>
      </x:c>
      <x:c r="C12" s="47" t="n">
        <x:f>SUMIF('Orçamento'!$B$5:$B$36,A12,'Orçamento'!$H$5:$H$36)</x:f>
        <x:v>13860</x:v>
      </x:c>
    </x:row>
    <x:row r="13">
      <x:c r="A13" s="26" t="str">
        <x:v>Banheiro dos Filhos</x:v>
      </x:c>
      <x:c r="B13" s="67" t="n">
        <x:f>SUMIF('Orçamento'!$B$5:$B$36,A13,'Orçamento'!$F$5:$F$36)</x:f>
        <x:v>0.21</x:v>
      </x:c>
      <x:c r="C13" s="47" t="n">
        <x:f>SUMIF('Orçamento'!$B$5:$B$36,A13,'Orçamento'!$H$5:$H$36)</x:f>
        <x:v>420</x:v>
      </x:c>
    </x:row>
    <x:row r="14">
      <x:c r="A14" s="26" t="str">
        <x:v>Suíte da Filha</x:v>
      </x:c>
      <x:c r="B14" s="67" t="n">
        <x:f>SUMIF('Orçamento'!$B$5:$B$36,A14,'Orçamento'!$F$5:$F$36)</x:f>
        <x:v>9</x:v>
      </x:c>
      <x:c r="C14" s="47" t="n">
        <x:f>SUMIF('Orçamento'!$B$5:$B$36,A14,'Orçamento'!$H$5:$H$36)</x:f>
        <x:v>18000</x:v>
      </x:c>
    </x:row>
    <x:row r="15">
      <x:c r="A15" s="26" t="str">
        <x:v>Banheiro da Filha</x:v>
      </x:c>
      <x:c r="B15" s="67" t="n">
        <x:f>SUMIF('Orçamento'!$B$5:$B$36,A15,'Orçamento'!$F$5:$F$36)</x:f>
        <x:v>0.87</x:v>
      </x:c>
      <x:c r="C15" s="47" t="n">
        <x:f>SUMIF('Orçamento'!$B$5:$B$36,A15,'Orçamento'!$H$5:$H$36)</x:f>
        <x:v>1740</x:v>
      </x:c>
    </x:row>
    <x:row r="16">
      <x:c r="A16" s="26" t="str">
        <x:v>Suíte Master</x:v>
      </x:c>
      <x:c r="B16" s="67" t="n">
        <x:f>SUMIF('Orçamento'!$B$5:$B$36,A16,'Orçamento'!$F$5:$F$36)</x:f>
        <x:v>8.87</x:v>
      </x:c>
      <x:c r="C16" s="47" t="n">
        <x:f>SUMIF('Orçamento'!$B$5:$B$36,A16,'Orçamento'!$H$5:$H$36)</x:f>
        <x:v>17740</x:v>
      </x:c>
    </x:row>
    <x:row r="17">
      <x:c r="A17" s="26" t="str">
        <x:v>Suíte Master / Closet</x:v>
      </x:c>
      <x:c r="B17" s="67" t="n">
        <x:f>SUMIF('Orçamento'!$B$5:$B$36,A17,'Orçamento'!$F$5:$F$36)</x:f>
        <x:v>5.94</x:v>
      </x:c>
      <x:c r="C17" s="47" t="n">
        <x:f>SUMIF('Orçamento'!$B$5:$B$36,A17,'Orçamento'!$H$5:$H$36)</x:f>
        <x:v>11880</x:v>
      </x:c>
    </x:row>
    <x:row r="18">
      <x:c r="A18" s="26" t="str">
        <x:v>Closet Master</x:v>
      </x:c>
      <x:c r="B18" s="67" t="n">
        <x:f>SUMIF('Orçamento'!$B$5:$B$36,A18,'Orçamento'!$F$5:$F$36)</x:f>
        <x:v>9.809999999999999</x:v>
      </x:c>
      <x:c r="C18" s="47" t="n">
        <x:f>SUMIF('Orçamento'!$B$5:$B$36,A18,'Orçamento'!$H$5:$H$36)</x:f>
        <x:v>19620</x:v>
      </x:c>
    </x:row>
    <x:row r="19">
      <x:c r="A19" s="26" t="str">
        <x:v>Banheiro Master</x:v>
      </x:c>
      <x:c r="B19" s="67" t="n">
        <x:f>SUMIF('Orçamento'!$B$5:$B$36,A19,'Orçamento'!$F$5:$F$36)</x:f>
        <x:v>1.01</x:v>
      </x:c>
      <x:c r="C19" s="47" t="n">
        <x:f>SUMIF('Orçamento'!$B$5:$B$36,A19,'Orçamento'!$H$5:$H$36)</x:f>
        <x:v>2020</x:v>
      </x:c>
    </x:row>
    <x:row r="20">
      <x:c r="B20" s="67"/>
      <x:c r="C20" s="47"/>
    </x:row>
    <x:row r="21">
      <x:c r="A21" s="65" t="str">
        <x:v>TOTAL GERAL</x:v>
      </x:c>
      <x:c r="B21" s="68" t="n">
        <x:f>SUM(B4:B19)</x:f>
        <x:v>112.56</x:v>
      </x:c>
      <x:c r="C21" s="71" t="n">
        <x:f>SUM(C4:C19)</x:f>
        <x:v>225120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355e479c3fff45b4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5" t="str">
        <x:v>PREMISSAS, CRITÉRIOS E OBSERVAÇÕES</x:v>
      </x:c>
      <x:c r="B1" s="5"/>
      <x:c r="C1" s="5"/>
      <x:c r="D1" s="5"/>
      <x:c r="E1" s="5"/>
      <x:c r="F1" s="5"/>
    </x:row>
    <x:row r="3">
      <x:c r="A3" s="20" t="str">
        <x:v>Item</x:v>
      </x:c>
      <x:c r="B3" s="20" t="str">
        <x:v>Descrição</x:v>
      </x:c>
    </x:row>
    <x:row r="4" ht="48" customHeight="1">
      <x:c r="A4" s="29" t="str">
        <x:v>Critério de medição</x:v>
      </x:c>
      <x:c r="B4" s="29" t="str">
        <x:v>Área frontal projetada do mobiliário (largura x altura), prática utilizada para orçamento preliminar por metro quadrado.</x:v>
      </x:c>
    </x:row>
    <x:row r="5" ht="48" customHeight="1">
      <x:c r="A5" s="29" t="str">
        <x:v>Preço adotado</x:v>
      </x:c>
      <x:c r="B5" s="29" t="str">
        <x:v>R$ 2.000,00 por m², conforme solicitado.</x:v>
      </x:c>
    </x:row>
    <x:row r="6" ht="48" customHeight="1">
      <x:c r="A6" s="29" t="str">
        <x:v>Áreas líquidas</x:v>
      </x:c>
      <x:c r="B6" s="29" t="str">
        <x:v>Nos painéis com portas e grandes vãos, foram utilizadas áreas líquidas aproximadas, descontando os vãos identificados no desenho.</x:v>
      </x:c>
    </x:row>
    <x:row r="7" ht="48" customHeight="1">
      <x:c r="A7" s="29" t="str">
        <x:v>Materiais</x:v>
      </x:c>
      <x:c r="B7" s="29" t="str">
        <x:v>MDF Carvalho Malva e MDF Palha Trama - Duratex, MDF Branco TX nos interiores e demais acabamentos indicados no projeto.</x:v>
      </x:c>
    </x:row>
    <x:row r="8" ht="48" customHeight="1">
      <x:c r="A8" s="29" t="str">
        <x:v>Ferragens e acessórios</x:v>
      </x:c>
      <x:c r="B8" s="29" t="str">
        <x:v>Os detalhamentos registram puxadores cava, corrediças, dobradiças, LEDs, vidros, espelhos e acessórios; confirmar se todos estão incluídos no preço por m² antes do contrato.</x:v>
      </x:c>
    </x:row>
    <x:row r="9" ht="48" customHeight="1">
      <x:c r="A9" s="29" t="str">
        <x:v>Conferência</x:v>
      </x:c>
      <x:c r="B9" s="29" t="str">
        <x:v>Todas as medidas devem ser conferidas no local antes da fabricação, conforme observação do próprio projeto.</x:v>
      </x:c>
    </x:row>
    <x:row r="11">
      <x:c r="A11" s="77" t="str">
        <x:v>Fonte: Projeto de Interiores - Marcenaria, cliente Simone Pereira de Carvalho Nunes, junho/2026, 43 pranchas.</x:v>
      </x:c>
    </x:row>
  </x:sheetData>
  <x:mergeCells>
    <x:mergeCell ref="A1:F1"/>
    <x:mergeCell ref="A11:B11"/>
  </x:mergeCells>
  <x:pageMargins left="0.7" right="0.7" top="0.75" bottom="0.75" header="0.3" footer="0.3"/>
</x:worksheet>
</file>